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xr:revisionPtr revIDLastSave="0" documentId="13_ncr:1_{C703DC36-985A-4156-AD32-D5D124185A7A}" xr6:coauthVersionLast="47" xr6:coauthVersionMax="47" xr10:uidLastSave="{00000000-0000-0000-0000-000000000000}"/>
  <bookViews>
    <workbookView xWindow="-120" yWindow="-120" windowWidth="19440" windowHeight="11040" xr2:uid="{BC06FBA4-6758-4948-8E11-18A323617EDA}"/>
  </bookViews>
  <sheets>
    <sheet name="Summary" sheetId="4" r:id="rId1"/>
    <sheet name="Saving" sheetId="3" r:id="rId2"/>
    <sheet name="Expense" sheetId="2" r:id="rId3"/>
    <sheet name="Incom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E10" i="4"/>
  <c r="E7" i="4"/>
  <c r="E16" i="4" s="1"/>
  <c r="O6" i="4" l="1"/>
  <c r="O5" i="4" s="1"/>
</calcChain>
</file>

<file path=xl/sharedStrings.xml><?xml version="1.0" encoding="utf-8"?>
<sst xmlns="http://schemas.openxmlformats.org/spreadsheetml/2006/main" count="34" uniqueCount="24">
  <si>
    <t>Personal Budget Tracker</t>
  </si>
  <si>
    <t>Summary :</t>
  </si>
  <si>
    <t>S No</t>
  </si>
  <si>
    <t>Monthly Income</t>
  </si>
  <si>
    <t>Monthly Income :</t>
  </si>
  <si>
    <t>Income Source</t>
  </si>
  <si>
    <t>Date</t>
  </si>
  <si>
    <t>Amount</t>
  </si>
  <si>
    <t>Monthly Expenses :</t>
  </si>
  <si>
    <t>MonthlySaving :</t>
  </si>
  <si>
    <t>Percentage of Income Spent :</t>
  </si>
  <si>
    <t>Monthly Expenses</t>
  </si>
  <si>
    <t>Monthly Savings</t>
  </si>
  <si>
    <t>Cash Balance</t>
  </si>
  <si>
    <t>Income From Stocks</t>
  </si>
  <si>
    <t>Income From Rent</t>
  </si>
  <si>
    <t>Salary</t>
  </si>
  <si>
    <t>Car emi</t>
  </si>
  <si>
    <t>Laptop emi</t>
  </si>
  <si>
    <t>mobile bill</t>
  </si>
  <si>
    <t>Electricity bill</t>
  </si>
  <si>
    <t>Saving Source</t>
  </si>
  <si>
    <t>Stocks</t>
  </si>
  <si>
    <t>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</si>
</sst>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14" fontId="0" fillId="0" borderId="0" xfId="0" applyNumberFormat="1"/>
    <xf numFmtId="166" fontId="2" fillId="0" borderId="0" xfId="0" applyNumberFormat="1" applyFont="1" applyAlignment="1">
      <alignment horizontal="left"/>
    </xf>
    <xf numFmtId="9" fontId="0" fillId="0" borderId="0" xfId="1" applyFont="1"/>
    <xf numFmtId="9" fontId="0" fillId="0" borderId="0" xfId="0" applyNumberForma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Summary!$E$7</c:f>
              <c:numCache>
                <c:formatCode>"₹"\ #,##0.00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3-4364-B4C0-34D37915C53C}"/>
            </c:ext>
          </c:extLst>
        </c:ser>
        <c:ser>
          <c:idx val="1"/>
          <c:order val="1"/>
          <c:tx>
            <c:v>Expense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Summary!$E$10</c:f>
              <c:numCache>
                <c:formatCode>"₹"\ #,##0.00</c:formatCode>
                <c:ptCount val="1"/>
                <c:pt idx="0">
                  <c:v>18800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3-4364-B4C0-34D37915C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39586575"/>
        <c:axId val="1039585743"/>
      </c:barChart>
      <c:catAx>
        <c:axId val="10395865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039585743"/>
        <c:crosses val="autoZero"/>
        <c:auto val="1"/>
        <c:lblAlgn val="ctr"/>
        <c:lblOffset val="100"/>
        <c:noMultiLvlLbl val="0"/>
      </c:catAx>
      <c:valAx>
        <c:axId val="1039585743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5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02454742911661"/>
          <c:y val="0.84743643005021463"/>
          <c:w val="0.68603554362015984"/>
          <c:h val="9.2359366946556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D8E-46F4-9817-246D6C459CDC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E-46F4-9817-246D6C459CDC}"/>
              </c:ext>
            </c:extLst>
          </c:dPt>
          <c:val>
            <c:numRef>
              <c:f>Summary!$O$5:$O$6</c:f>
              <c:numCache>
                <c:formatCode>0%</c:formatCode>
                <c:ptCount val="2"/>
                <c:pt idx="0">
                  <c:v>0.624</c:v>
                </c:pt>
                <c:pt idx="1">
                  <c:v>0.376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E-46F4-9817-246D6C45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ome!A1"/><Relationship Id="rId2" Type="http://schemas.openxmlformats.org/officeDocument/2006/relationships/hyperlink" Target="#Expense!A1"/><Relationship Id="rId1" Type="http://schemas.openxmlformats.org/officeDocument/2006/relationships/hyperlink" Target="#Saving!A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come!A1"/><Relationship Id="rId2" Type="http://schemas.openxmlformats.org/officeDocument/2006/relationships/hyperlink" Target="#Expense!A1"/><Relationship Id="rId1" Type="http://schemas.openxmlformats.org/officeDocument/2006/relationships/hyperlink" Target="#Saving!A1"/><Relationship Id="rId4" Type="http://schemas.openxmlformats.org/officeDocument/2006/relationships/hyperlink" Target="#Summary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Saving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Expense!A1"/><Relationship Id="rId1" Type="http://schemas.openxmlformats.org/officeDocument/2006/relationships/hyperlink" Target="#Saving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212481</xdr:colOff>
      <xdr:row>1</xdr:row>
      <xdr:rowOff>131885</xdr:rowOff>
    </xdr:from>
    <xdr:to>
      <xdr:col>12</xdr:col>
      <xdr:colOff>483577</xdr:colOff>
      <xdr:row>1</xdr:row>
      <xdr:rowOff>359019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4AA55-4900-4A6B-98CF-B199404E62FD}"/>
            </a:ext>
          </a:extLst>
        </xdr:cNvPr>
        <xdr:cNvSpPr/>
      </xdr:nvSpPr>
      <xdr:spPr>
        <a:xfrm>
          <a:off x="7994406" y="131885"/>
          <a:ext cx="880696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Savings</a:t>
          </a:r>
          <a:endParaRPr lang="en-IN" sz="1100"/>
        </a:p>
      </xdr:txBody>
    </xdr:sp>
    <xdr:clientData/>
  </xdr:twoCellAnchor>
  <xdr:twoCellAnchor>
    <xdr:from>
      <xdr:col>9</xdr:col>
      <xdr:colOff>483577</xdr:colOff>
      <xdr:row>1</xdr:row>
      <xdr:rowOff>131885</xdr:rowOff>
    </xdr:from>
    <xdr:to>
      <xdr:col>11</xdr:col>
      <xdr:colOff>146539</xdr:colOff>
      <xdr:row>1</xdr:row>
      <xdr:rowOff>359019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0B5121-91A5-4CFF-A00F-ECD4993083F2}"/>
            </a:ext>
          </a:extLst>
        </xdr:cNvPr>
        <xdr:cNvSpPr/>
      </xdr:nvSpPr>
      <xdr:spPr>
        <a:xfrm>
          <a:off x="7046302" y="131885"/>
          <a:ext cx="882162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Expenses</a:t>
          </a:r>
          <a:endParaRPr lang="en-IN" sz="1100"/>
        </a:p>
      </xdr:txBody>
    </xdr:sp>
    <xdr:clientData/>
  </xdr:twoCellAnchor>
  <xdr:twoCellAnchor>
    <xdr:from>
      <xdr:col>8</xdr:col>
      <xdr:colOff>146538</xdr:colOff>
      <xdr:row>1</xdr:row>
      <xdr:rowOff>124558</xdr:rowOff>
    </xdr:from>
    <xdr:to>
      <xdr:col>9</xdr:col>
      <xdr:colOff>417635</xdr:colOff>
      <xdr:row>1</xdr:row>
      <xdr:rowOff>351692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8D2142-298C-42FE-A055-7E7A0D2F63C3}"/>
            </a:ext>
          </a:extLst>
        </xdr:cNvPr>
        <xdr:cNvSpPr/>
      </xdr:nvSpPr>
      <xdr:spPr>
        <a:xfrm>
          <a:off x="6099663" y="124558"/>
          <a:ext cx="880697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Income</a:t>
          </a:r>
          <a:endParaRPr lang="en-IN" sz="1100"/>
        </a:p>
      </xdr:txBody>
    </xdr:sp>
    <xdr:clientData/>
  </xdr:twoCellAnchor>
  <xdr:twoCellAnchor>
    <xdr:from>
      <xdr:col>6</xdr:col>
      <xdr:colOff>424962</xdr:colOff>
      <xdr:row>1</xdr:row>
      <xdr:rowOff>117231</xdr:rowOff>
    </xdr:from>
    <xdr:to>
      <xdr:col>8</xdr:col>
      <xdr:colOff>87923</xdr:colOff>
      <xdr:row>1</xdr:row>
      <xdr:rowOff>344365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1DC8527-998E-4C52-88D4-D5846DC54B4E}"/>
            </a:ext>
          </a:extLst>
        </xdr:cNvPr>
        <xdr:cNvSpPr/>
      </xdr:nvSpPr>
      <xdr:spPr>
        <a:xfrm>
          <a:off x="5158887" y="117231"/>
          <a:ext cx="882161" cy="227134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Summary</a:t>
          </a:r>
          <a:endParaRPr lang="en-IN" sz="1100"/>
        </a:p>
      </xdr:txBody>
    </xdr:sp>
    <xdr:clientData/>
  </xdr:twoCellAnchor>
  <xdr:twoCellAnchor>
    <xdr:from>
      <xdr:col>7</xdr:col>
      <xdr:colOff>315057</xdr:colOff>
      <xdr:row>4</xdr:row>
      <xdr:rowOff>139210</xdr:rowOff>
    </xdr:from>
    <xdr:to>
      <xdr:col>12</xdr:col>
      <xdr:colOff>315058</xdr:colOff>
      <xdr:row>16</xdr:row>
      <xdr:rowOff>153866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4B91DC-6D58-E013-9229-B4F61C14D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282086</xdr:colOff>
      <xdr:row>4</xdr:row>
      <xdr:rowOff>141409</xdr:rowOff>
    </xdr:from>
    <xdr:to>
      <xdr:col>3</xdr:col>
      <xdr:colOff>153864</xdr:colOff>
      <xdr:row>16</xdr:row>
      <xdr:rowOff>161192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38BEF5-25D6-39FB-4F3F-715AFF15D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197827</xdr:colOff>
      <xdr:row>9</xdr:row>
      <xdr:rowOff>153866</xdr:rowOff>
    </xdr:from>
    <xdr:to>
      <xdr:col>2</xdr:col>
      <xdr:colOff>945173</xdr:colOff>
      <xdr:row>12</xdr:row>
      <xdr:rowOff>43963</xdr:rowOff>
    </xdr:to>
    <xdr:sp macro="" textlink="$O$6">
      <xdr:nvSpPr>
        <xdr:cNvPr id="8" name="Rectangle 7">
          <a:extLst>
            <a:ext uri="{FF2B5EF4-FFF2-40B4-BE49-F238E27FC236}">
              <a16:creationId xmlns:a16="http://schemas.microsoft.com/office/drawing/2014/main" id="{B94B3234-CF59-BD3E-8422-07806013A02B}"/>
            </a:ext>
          </a:extLst>
        </xdr:cNvPr>
        <xdr:cNvSpPr/>
      </xdr:nvSpPr>
      <xdr:spPr>
        <a:xfrm>
          <a:off x="1157654" y="1992924"/>
          <a:ext cx="747346" cy="512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79F1EF0-ACB2-4397-B811-0205F8A0AFCF}" type="TxLink">
            <a:rPr lang="en-US" sz="2400" b="0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38%</a:t>
          </a:fld>
          <a:endParaRPr lang="en-IN" sz="24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212481</xdr:colOff>
      <xdr:row>1</xdr:row>
      <xdr:rowOff>131885</xdr:rowOff>
    </xdr:from>
    <xdr:to>
      <xdr:col>12</xdr:col>
      <xdr:colOff>483577</xdr:colOff>
      <xdr:row>1</xdr:row>
      <xdr:rowOff>359019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A719D-9ECA-497B-8824-4DD63C6CA417}"/>
            </a:ext>
          </a:extLst>
        </xdr:cNvPr>
        <xdr:cNvSpPr/>
      </xdr:nvSpPr>
      <xdr:spPr>
        <a:xfrm>
          <a:off x="7994406" y="131885"/>
          <a:ext cx="880696" cy="227134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Savings</a:t>
          </a:r>
          <a:endParaRPr lang="en-IN" sz="1100"/>
        </a:p>
      </xdr:txBody>
    </xdr:sp>
    <xdr:clientData/>
  </xdr:twoCellAnchor>
  <xdr:twoCellAnchor>
    <xdr:from>
      <xdr:col>9</xdr:col>
      <xdr:colOff>483577</xdr:colOff>
      <xdr:row>1</xdr:row>
      <xdr:rowOff>131885</xdr:rowOff>
    </xdr:from>
    <xdr:to>
      <xdr:col>11</xdr:col>
      <xdr:colOff>146539</xdr:colOff>
      <xdr:row>1</xdr:row>
      <xdr:rowOff>359019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33FD5B-2EF8-4F0B-9C3D-41534391BF85}"/>
            </a:ext>
          </a:extLst>
        </xdr:cNvPr>
        <xdr:cNvSpPr/>
      </xdr:nvSpPr>
      <xdr:spPr>
        <a:xfrm>
          <a:off x="7046302" y="131885"/>
          <a:ext cx="882162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Expenses</a:t>
          </a:r>
          <a:endParaRPr lang="en-IN" sz="1100"/>
        </a:p>
      </xdr:txBody>
    </xdr:sp>
    <xdr:clientData/>
  </xdr:twoCellAnchor>
  <xdr:twoCellAnchor>
    <xdr:from>
      <xdr:col>8</xdr:col>
      <xdr:colOff>146538</xdr:colOff>
      <xdr:row>1</xdr:row>
      <xdr:rowOff>124558</xdr:rowOff>
    </xdr:from>
    <xdr:to>
      <xdr:col>9</xdr:col>
      <xdr:colOff>417635</xdr:colOff>
      <xdr:row>1</xdr:row>
      <xdr:rowOff>351692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3CD5E9-C14C-4A9C-BFCB-B0493864A85B}"/>
            </a:ext>
          </a:extLst>
        </xdr:cNvPr>
        <xdr:cNvSpPr/>
      </xdr:nvSpPr>
      <xdr:spPr>
        <a:xfrm>
          <a:off x="6099663" y="124558"/>
          <a:ext cx="880697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Income</a:t>
          </a:r>
          <a:endParaRPr lang="en-IN" sz="1100"/>
        </a:p>
      </xdr:txBody>
    </xdr:sp>
    <xdr:clientData/>
  </xdr:twoCellAnchor>
  <xdr:twoCellAnchor>
    <xdr:from>
      <xdr:col>6</xdr:col>
      <xdr:colOff>424962</xdr:colOff>
      <xdr:row>1</xdr:row>
      <xdr:rowOff>117231</xdr:rowOff>
    </xdr:from>
    <xdr:to>
      <xdr:col>8</xdr:col>
      <xdr:colOff>87923</xdr:colOff>
      <xdr:row>1</xdr:row>
      <xdr:rowOff>344365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71E678-FBCB-4859-B1E5-DB56438211C3}"/>
            </a:ext>
          </a:extLst>
        </xdr:cNvPr>
        <xdr:cNvSpPr/>
      </xdr:nvSpPr>
      <xdr:spPr>
        <a:xfrm>
          <a:off x="5158887" y="117231"/>
          <a:ext cx="882161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Summary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212481</xdr:colOff>
      <xdr:row>1</xdr:row>
      <xdr:rowOff>131885</xdr:rowOff>
    </xdr:from>
    <xdr:to>
      <xdr:col>12</xdr:col>
      <xdr:colOff>483577</xdr:colOff>
      <xdr:row>1</xdr:row>
      <xdr:rowOff>359019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2E77A-DAC6-4738-ACDE-E7AE259FDCAF}"/>
            </a:ext>
          </a:extLst>
        </xdr:cNvPr>
        <xdr:cNvSpPr/>
      </xdr:nvSpPr>
      <xdr:spPr>
        <a:xfrm>
          <a:off x="7994406" y="131885"/>
          <a:ext cx="880696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Savings</a:t>
          </a:r>
          <a:endParaRPr lang="en-IN" sz="1100"/>
        </a:p>
      </xdr:txBody>
    </xdr:sp>
    <xdr:clientData/>
  </xdr:twoCellAnchor>
  <xdr:twoCellAnchor>
    <xdr:from>
      <xdr:col>9</xdr:col>
      <xdr:colOff>483577</xdr:colOff>
      <xdr:row>1</xdr:row>
      <xdr:rowOff>131885</xdr:rowOff>
    </xdr:from>
    <xdr:to>
      <xdr:col>11</xdr:col>
      <xdr:colOff>146539</xdr:colOff>
      <xdr:row>1</xdr:row>
      <xdr:rowOff>359019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FB4E154-87A2-4F9A-A1C2-CD21F5F80D43}"/>
            </a:ext>
          </a:extLst>
        </xdr:cNvPr>
        <xdr:cNvSpPr/>
      </xdr:nvSpPr>
      <xdr:spPr>
        <a:xfrm>
          <a:off x="7046302" y="131885"/>
          <a:ext cx="882162" cy="227134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Expenses</a:t>
          </a:r>
          <a:endParaRPr lang="en-IN" sz="1100"/>
        </a:p>
      </xdr:txBody>
    </xdr:sp>
    <xdr:clientData/>
  </xdr:twoCellAnchor>
  <xdr:twoCellAnchor>
    <xdr:from>
      <xdr:col>8</xdr:col>
      <xdr:colOff>146538</xdr:colOff>
      <xdr:row>1</xdr:row>
      <xdr:rowOff>124558</xdr:rowOff>
    </xdr:from>
    <xdr:to>
      <xdr:col>9</xdr:col>
      <xdr:colOff>417635</xdr:colOff>
      <xdr:row>1</xdr:row>
      <xdr:rowOff>351692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F87FE6-2FD2-42B3-87D4-4797BE558CB4}"/>
            </a:ext>
          </a:extLst>
        </xdr:cNvPr>
        <xdr:cNvSpPr/>
      </xdr:nvSpPr>
      <xdr:spPr>
        <a:xfrm>
          <a:off x="6099663" y="124558"/>
          <a:ext cx="880697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Income</a:t>
          </a:r>
          <a:endParaRPr lang="en-IN" sz="1100"/>
        </a:p>
      </xdr:txBody>
    </xdr:sp>
    <xdr:clientData/>
  </xdr:twoCellAnchor>
  <xdr:twoCellAnchor>
    <xdr:from>
      <xdr:col>6</xdr:col>
      <xdr:colOff>424962</xdr:colOff>
      <xdr:row>1</xdr:row>
      <xdr:rowOff>117231</xdr:rowOff>
    </xdr:from>
    <xdr:to>
      <xdr:col>8</xdr:col>
      <xdr:colOff>87923</xdr:colOff>
      <xdr:row>1</xdr:row>
      <xdr:rowOff>344365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7AC99F-96A6-48CE-A9CB-77DC50181CC6}"/>
            </a:ext>
          </a:extLst>
        </xdr:cNvPr>
        <xdr:cNvSpPr/>
      </xdr:nvSpPr>
      <xdr:spPr>
        <a:xfrm>
          <a:off x="5158887" y="117231"/>
          <a:ext cx="882161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Summary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212481</xdr:colOff>
      <xdr:row>1</xdr:row>
      <xdr:rowOff>131885</xdr:rowOff>
    </xdr:from>
    <xdr:to>
      <xdr:col>12</xdr:col>
      <xdr:colOff>483577</xdr:colOff>
      <xdr:row>1</xdr:row>
      <xdr:rowOff>359019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9122E-06FE-F29D-C433-E948EA27B6BB}"/>
            </a:ext>
          </a:extLst>
        </xdr:cNvPr>
        <xdr:cNvSpPr/>
      </xdr:nvSpPr>
      <xdr:spPr>
        <a:xfrm>
          <a:off x="7986346" y="131885"/>
          <a:ext cx="879231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Savings</a:t>
          </a:r>
          <a:endParaRPr lang="en-IN" sz="1100"/>
        </a:p>
      </xdr:txBody>
    </xdr:sp>
    <xdr:clientData/>
  </xdr:twoCellAnchor>
  <xdr:twoCellAnchor>
    <xdr:from>
      <xdr:col>9</xdr:col>
      <xdr:colOff>483577</xdr:colOff>
      <xdr:row>1</xdr:row>
      <xdr:rowOff>131885</xdr:rowOff>
    </xdr:from>
    <xdr:to>
      <xdr:col>11</xdr:col>
      <xdr:colOff>146539</xdr:colOff>
      <xdr:row>1</xdr:row>
      <xdr:rowOff>359019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931597-E71E-0EA5-BE67-C57E98BF7279}"/>
            </a:ext>
          </a:extLst>
        </xdr:cNvPr>
        <xdr:cNvSpPr/>
      </xdr:nvSpPr>
      <xdr:spPr>
        <a:xfrm>
          <a:off x="7041173" y="131885"/>
          <a:ext cx="879231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Expenses</a:t>
          </a:r>
          <a:endParaRPr lang="en-IN" sz="1100"/>
        </a:p>
      </xdr:txBody>
    </xdr:sp>
    <xdr:clientData/>
  </xdr:twoCellAnchor>
  <xdr:twoCellAnchor>
    <xdr:from>
      <xdr:col>8</xdr:col>
      <xdr:colOff>146538</xdr:colOff>
      <xdr:row>1</xdr:row>
      <xdr:rowOff>124558</xdr:rowOff>
    </xdr:from>
    <xdr:to>
      <xdr:col>9</xdr:col>
      <xdr:colOff>417635</xdr:colOff>
      <xdr:row>1</xdr:row>
      <xdr:rowOff>351692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9090AB6-4FB5-B585-F388-DD86548CB92C}"/>
            </a:ext>
          </a:extLst>
        </xdr:cNvPr>
        <xdr:cNvSpPr/>
      </xdr:nvSpPr>
      <xdr:spPr>
        <a:xfrm>
          <a:off x="6096000" y="124558"/>
          <a:ext cx="879231" cy="227134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Income</a:t>
          </a:r>
          <a:endParaRPr lang="en-IN" sz="1100"/>
        </a:p>
      </xdr:txBody>
    </xdr:sp>
    <xdr:clientData/>
  </xdr:twoCellAnchor>
  <xdr:twoCellAnchor>
    <xdr:from>
      <xdr:col>6</xdr:col>
      <xdr:colOff>424962</xdr:colOff>
      <xdr:row>1</xdr:row>
      <xdr:rowOff>117231</xdr:rowOff>
    </xdr:from>
    <xdr:to>
      <xdr:col>8</xdr:col>
      <xdr:colOff>87923</xdr:colOff>
      <xdr:row>1</xdr:row>
      <xdr:rowOff>344365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88C9EC-42BD-F4AD-26DE-4A56A4BBF7B3}"/>
            </a:ext>
          </a:extLst>
        </xdr:cNvPr>
        <xdr:cNvSpPr/>
      </xdr:nvSpPr>
      <xdr:spPr>
        <a:xfrm>
          <a:off x="5158154" y="117231"/>
          <a:ext cx="879231" cy="22713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Summary</a:t>
          </a:r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8CD0E-5405-4BE5-B7CD-D24B0CC4771E}" name="Table134" displayName="Table134" ref="B6:E8" totalsRowShown="0">
  <autoFilter ref="B6:E8" xr:uid="{4E48950B-9752-4735-B2B9-257ED2886846}"/>
  <tableColumns count="4">
    <tableColumn id="1" xr3:uid="{FC541EBD-2CB3-4784-B9FA-9C806BECDC9D}" name="S No"/>
    <tableColumn id="2" xr3:uid="{E9C3C028-8A1A-49D9-A6B8-A0E5BA03E2C4}" name="Saving Source"/>
    <tableColumn id="3" xr3:uid="{EF478138-5C6C-4502-B5D3-843CCA4B6B02}" name="Date"/>
    <tableColumn id="4" xr3:uid="{F817609D-256F-49F5-8193-CB4328C3AD5B}" name="Amount"/>
  </tableColumns>
  <tableStyleInfo name="TableStyleLight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DF46A3-0877-4205-8D2D-BD1805D68573}" name="Table13" displayName="Table13" ref="B6:E10" totalsRowShown="0">
  <autoFilter ref="B6:E10" xr:uid="{4E48950B-9752-4735-B2B9-257ED2886846}"/>
  <tableColumns count="4">
    <tableColumn id="1" xr3:uid="{3F23A75B-5D57-45D4-8AC8-ED2B24972200}" name="S No"/>
    <tableColumn id="2" xr3:uid="{B4C6BD41-0C9D-40CA-855A-DECF286B30EE}" name="Income Source"/>
    <tableColumn id="3" xr3:uid="{810F1A93-B1CC-4D4C-958B-D1AEE6E3E67A}" name="Date"/>
    <tableColumn id="4" xr3:uid="{A5E53AC6-4254-4C8B-B05E-772AD8F7A469}" name="Amount"/>
  </tableColumns>
  <tableStyleInfo name="TableStyleLight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8950B-9752-4735-B2B9-257ED2886846}" name="Table1" displayName="Table1" ref="B6:E9" totalsRowShown="0">
  <autoFilter ref="B6:E9" xr:uid="{4E48950B-9752-4735-B2B9-257ED2886846}"/>
  <tableColumns count="4">
    <tableColumn id="1" xr3:uid="{48549353-1AFB-4273-9212-9DA267A2ECAF}" name="S No"/>
    <tableColumn id="2" xr3:uid="{AA86B6D9-7552-43E0-8D17-080ED7618B23}" name="Income Source"/>
    <tableColumn id="3" xr3:uid="{167E181D-9944-431A-8D57-B77A3FDB69B1}" name="Date"/>
    <tableColumn id="4" xr3:uid="{3644E5F9-DA0D-4C5C-B48F-0BF81114D68C}" name="Amount"/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7BDB-E52F-4C8A-A95B-45A6DCA0ACA9}">
  <dimension ref="B2:O18"/>
  <sheetViews>
    <sheetView showGridLines="0" showRowColHeaders="0" tabSelected="1" zoomScale="130" zoomScaleNormal="130" workbookViewId="0"/>
  </sheetViews>
  <sheetFormatPr defaultRowHeight="15" x14ac:dyDescent="0.25"/>
  <cols>
    <col min="1" max="1" width="5.28515625" customWidth="1"/>
    <col min="3" max="3" width="24.28515625" customWidth="1"/>
    <col min="4" max="4" width="8.140625" customWidth="1"/>
    <col min="5" max="5" width="15.28515625" customWidth="1"/>
  </cols>
  <sheetData>
    <row r="2" spans="2:15" s="1" customFormat="1" ht="36" customHeight="1" x14ac:dyDescent="0.25">
      <c r="B2" s="1" t="s">
        <v>0</v>
      </c>
    </row>
    <row r="4" spans="2:15" x14ac:dyDescent="0.25">
      <c r="B4" t="s">
        <v>10</v>
      </c>
      <c r="E4" t="s">
        <v>1</v>
      </c>
    </row>
    <row r="5" spans="2:15" x14ac:dyDescent="0.25">
      <c r="O5" s="7">
        <f>1-O6</f>
        <v>0.624</v>
      </c>
    </row>
    <row r="6" spans="2:15" x14ac:dyDescent="0.25">
      <c r="E6" s="2" t="s">
        <v>3</v>
      </c>
      <c r="F6" s="3"/>
      <c r="G6" s="3"/>
      <c r="O6" s="6">
        <f>E10/E7</f>
        <v>0.376</v>
      </c>
    </row>
    <row r="7" spans="2:15" ht="18.75" x14ac:dyDescent="0.3">
      <c r="E7" s="5">
        <f>SUM(Table1[Amount])</f>
        <v>50000</v>
      </c>
    </row>
    <row r="9" spans="2:15" x14ac:dyDescent="0.25">
      <c r="E9" s="2" t="s">
        <v>11</v>
      </c>
      <c r="F9" s="3"/>
      <c r="G9" s="3"/>
    </row>
    <row r="10" spans="2:15" ht="18.75" x14ac:dyDescent="0.3">
      <c r="E10" s="5">
        <f>SUM(Table13[Amount])</f>
        <v>18800</v>
      </c>
    </row>
    <row r="12" spans="2:15" x14ac:dyDescent="0.25">
      <c r="E12" s="2" t="s">
        <v>12</v>
      </c>
      <c r="F12" s="3"/>
      <c r="G12" s="3"/>
    </row>
    <row r="13" spans="2:15" ht="18.75" x14ac:dyDescent="0.3">
      <c r="E13" s="5">
        <f>SUM(Table134[Amount])</f>
        <v>12999</v>
      </c>
    </row>
    <row r="15" spans="2:15" x14ac:dyDescent="0.25">
      <c r="E15" s="2" t="s">
        <v>13</v>
      </c>
      <c r="F15" s="3"/>
      <c r="G15" s="3"/>
    </row>
    <row r="16" spans="2:15" ht="18.75" x14ac:dyDescent="0.3">
      <c r="E16" s="5">
        <f>E7-E10-E13</f>
        <v>18201</v>
      </c>
    </row>
    <row r="18" s="8" customFormat="1" ht="36.75" customHeight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5684-42A0-42F0-8372-E6D8AB50D372}">
  <dimension ref="B2:E8"/>
  <sheetViews>
    <sheetView showGridLines="0" showRowColHeaders="0" zoomScale="130" zoomScaleNormal="130" workbookViewId="0"/>
  </sheetViews>
  <sheetFormatPr defaultRowHeight="15" x14ac:dyDescent="0.25"/>
  <cols>
    <col min="1" max="1" width="5.28515625" customWidth="1"/>
    <col min="3" max="3" width="24.28515625" customWidth="1"/>
    <col min="4" max="4" width="13.7109375" customWidth="1"/>
    <col min="5" max="5" width="9.42578125" customWidth="1"/>
  </cols>
  <sheetData>
    <row r="2" spans="2:5" s="1" customFormat="1" ht="36" customHeight="1" x14ac:dyDescent="0.25">
      <c r="B2" s="1" t="s">
        <v>0</v>
      </c>
    </row>
    <row r="4" spans="2:5" x14ac:dyDescent="0.25">
      <c r="B4" t="s">
        <v>9</v>
      </c>
    </row>
    <row r="6" spans="2:5" x14ac:dyDescent="0.25">
      <c r="B6" t="s">
        <v>2</v>
      </c>
      <c r="C6" t="s">
        <v>21</v>
      </c>
      <c r="D6" t="s">
        <v>6</v>
      </c>
      <c r="E6" t="s">
        <v>7</v>
      </c>
    </row>
    <row r="7" spans="2:5" x14ac:dyDescent="0.25">
      <c r="B7">
        <v>1</v>
      </c>
      <c r="C7" t="s">
        <v>22</v>
      </c>
      <c r="D7" s="4">
        <v>44562</v>
      </c>
      <c r="E7">
        <v>5000</v>
      </c>
    </row>
    <row r="8" spans="2:5" x14ac:dyDescent="0.25">
      <c r="B8">
        <v>2</v>
      </c>
      <c r="C8" t="s">
        <v>23</v>
      </c>
      <c r="D8" s="4">
        <v>44566</v>
      </c>
      <c r="E8">
        <v>7999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FD84-E862-4C46-9AD5-05624339F253}">
  <dimension ref="B2:E10"/>
  <sheetViews>
    <sheetView showGridLines="0" showRowColHeaders="0" zoomScale="130" zoomScaleNormal="130" workbookViewId="0"/>
  </sheetViews>
  <sheetFormatPr defaultRowHeight="15" x14ac:dyDescent="0.25"/>
  <cols>
    <col min="1" max="1" width="5.28515625" customWidth="1"/>
    <col min="3" max="3" width="24.28515625" customWidth="1"/>
    <col min="4" max="4" width="13.7109375" customWidth="1"/>
    <col min="5" max="5" width="9.42578125" customWidth="1"/>
  </cols>
  <sheetData>
    <row r="2" spans="2:5" s="1" customFormat="1" ht="36" customHeight="1" x14ac:dyDescent="0.25">
      <c r="B2" s="1" t="s">
        <v>0</v>
      </c>
    </row>
    <row r="4" spans="2:5" x14ac:dyDescent="0.25">
      <c r="B4" t="s">
        <v>8</v>
      </c>
    </row>
    <row r="6" spans="2:5" x14ac:dyDescent="0.25">
      <c r="B6" t="s">
        <v>2</v>
      </c>
      <c r="C6" t="s">
        <v>5</v>
      </c>
      <c r="D6" t="s">
        <v>6</v>
      </c>
      <c r="E6" t="s">
        <v>7</v>
      </c>
    </row>
    <row r="7" spans="2:5" x14ac:dyDescent="0.25">
      <c r="B7">
        <v>1</v>
      </c>
      <c r="C7" t="s">
        <v>17</v>
      </c>
      <c r="D7" s="4">
        <v>44562</v>
      </c>
      <c r="E7">
        <v>10000</v>
      </c>
    </row>
    <row r="8" spans="2:5" x14ac:dyDescent="0.25">
      <c r="B8">
        <v>2</v>
      </c>
      <c r="C8" t="s">
        <v>18</v>
      </c>
      <c r="D8" s="4">
        <v>44562</v>
      </c>
      <c r="E8">
        <v>5500</v>
      </c>
    </row>
    <row r="9" spans="2:5" x14ac:dyDescent="0.25">
      <c r="B9">
        <v>3</v>
      </c>
      <c r="C9" t="s">
        <v>19</v>
      </c>
      <c r="D9" s="4">
        <v>44566</v>
      </c>
      <c r="E9">
        <v>1000</v>
      </c>
    </row>
    <row r="10" spans="2:5" x14ac:dyDescent="0.25">
      <c r="B10">
        <v>4</v>
      </c>
      <c r="C10" t="s">
        <v>20</v>
      </c>
      <c r="D10" s="4">
        <v>44566</v>
      </c>
      <c r="E10">
        <v>2300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AEDF-A054-4457-8D8F-C36EB01C5F89}">
  <dimension ref="B2:E9"/>
  <sheetViews>
    <sheetView showGridLines="0" showRowColHeaders="0" zoomScale="130" zoomScaleNormal="130" workbookViewId="0"/>
  </sheetViews>
  <sheetFormatPr defaultRowHeight="15" x14ac:dyDescent="0.25"/>
  <cols>
    <col min="1" max="1" width="5.28515625" customWidth="1"/>
    <col min="3" max="3" width="24.28515625" customWidth="1"/>
    <col min="4" max="4" width="13.7109375" customWidth="1"/>
    <col min="5" max="5" width="9.42578125" customWidth="1"/>
  </cols>
  <sheetData>
    <row r="2" spans="2:5" s="1" customFormat="1" ht="36" customHeight="1" x14ac:dyDescent="0.25">
      <c r="B2" s="1" t="s">
        <v>0</v>
      </c>
    </row>
    <row r="4" spans="2:5" x14ac:dyDescent="0.25">
      <c r="B4" t="s">
        <v>4</v>
      </c>
    </row>
    <row r="6" spans="2:5" x14ac:dyDescent="0.25">
      <c r="B6" t="s">
        <v>2</v>
      </c>
      <c r="C6" t="s">
        <v>5</v>
      </c>
      <c r="D6" t="s">
        <v>6</v>
      </c>
      <c r="E6" t="s">
        <v>7</v>
      </c>
    </row>
    <row r="7" spans="2:5" x14ac:dyDescent="0.25">
      <c r="B7">
        <v>1</v>
      </c>
      <c r="C7" t="s">
        <v>14</v>
      </c>
      <c r="D7" s="4">
        <v>44562</v>
      </c>
      <c r="E7">
        <v>10000</v>
      </c>
    </row>
    <row r="8" spans="2:5" x14ac:dyDescent="0.25">
      <c r="B8">
        <v>2</v>
      </c>
      <c r="C8" t="s">
        <v>15</v>
      </c>
      <c r="D8" s="4">
        <v>44621</v>
      </c>
      <c r="E8">
        <v>20000</v>
      </c>
    </row>
    <row r="9" spans="2:5" x14ac:dyDescent="0.25">
      <c r="B9">
        <v>3</v>
      </c>
      <c r="C9" t="s">
        <v>16</v>
      </c>
      <c r="D9" s="4">
        <v>44682</v>
      </c>
      <c r="E9">
        <v>20000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Saving</vt:lpstr>
      <vt:lpstr>Expense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Deep</cp:lastModifiedBy>
  <dcterms:created xsi:type="dcterms:W3CDTF">2022-12-11T07:56:08Z</dcterms:created>
  <dcterms:modified xsi:type="dcterms:W3CDTF">2022-12-11T09:02:27Z</dcterms:modified>
</cp:coreProperties>
</file>